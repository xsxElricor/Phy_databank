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本科学习\物理\3a\电子技术实验\汪子涵\1\"/>
    </mc:Choice>
  </mc:AlternateContent>
  <xr:revisionPtr revIDLastSave="0" documentId="13_ncr:1_{6EF0B2B7-A0EE-444C-997E-D17462A7E340}" xr6:coauthVersionLast="47" xr6:coauthVersionMax="47" xr10:uidLastSave="{00000000-0000-0000-0000-000000000000}"/>
  <bookViews>
    <workbookView xWindow="0" yWindow="1260" windowWidth="25600" windowHeight="12420" xr2:uid="{85BAFB0C-B36B-49FA-87CD-5F5CE32FC58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2" i="1"/>
  <c r="O3" i="1"/>
  <c r="O4" i="1"/>
  <c r="O5" i="1"/>
  <c r="O6" i="1"/>
  <c r="O7" i="1"/>
  <c r="O8" i="1"/>
  <c r="O17" i="1" s="1"/>
  <c r="O18" i="1" s="1"/>
  <c r="O9" i="1"/>
  <c r="O10" i="1"/>
  <c r="O11" i="1"/>
  <c r="O12" i="1"/>
  <c r="O13" i="1"/>
  <c r="O14" i="1"/>
  <c r="O15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C3" i="1"/>
  <c r="C4" i="1"/>
  <c r="C5" i="1"/>
  <c r="C6" i="1"/>
  <c r="C17" i="1" s="1"/>
  <c r="C18" i="1" s="1"/>
  <c r="C7" i="1"/>
  <c r="C8" i="1"/>
  <c r="C9" i="1"/>
  <c r="C10" i="1"/>
  <c r="C11" i="1"/>
  <c r="C12" i="1"/>
  <c r="C13" i="1"/>
  <c r="C14" i="1"/>
  <c r="C15" i="1"/>
  <c r="C2" i="1"/>
  <c r="K17" i="1" l="1"/>
  <c r="K18" i="1" s="1"/>
  <c r="S17" i="1"/>
  <c r="G17" i="1"/>
  <c r="G18" i="1" s="1"/>
</calcChain>
</file>

<file path=xl/sharedStrings.xml><?xml version="1.0" encoding="utf-8"?>
<sst xmlns="http://schemas.openxmlformats.org/spreadsheetml/2006/main" count="21" uniqueCount="7">
  <si>
    <t>VcIN/mV</t>
    <phoneticPr fontId="1" type="noConversion"/>
  </si>
  <si>
    <t>Vbe/mV</t>
    <phoneticPr fontId="1" type="noConversion"/>
  </si>
  <si>
    <t>Ib/mA</t>
    <phoneticPr fontId="1" type="noConversion"/>
  </si>
  <si>
    <t>VbIN实测/mV</t>
    <phoneticPr fontId="1" type="noConversion"/>
  </si>
  <si>
    <t>Vbe实测/mV</t>
    <phoneticPr fontId="1" type="noConversion"/>
  </si>
  <si>
    <t>Ib计算值/μA</t>
    <phoneticPr fontId="1" type="noConversion"/>
  </si>
  <si>
    <t>Vce实测/mV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</si>
</sst>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4694881889763777E-2"/>
                  <c:y val="-0.161875182268883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(Sheet1!$C$16,Sheet1!$G$16,Sheet1!$K$16,Sheet1!$O$16)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(Sheet1!$C$17,Sheet1!$G$17,Sheet1!$K$17,Sheet1!$O$17)</c:f>
              <c:numCache>
                <c:formatCode>General</c:formatCode>
                <c:ptCount val="4"/>
                <c:pt idx="0">
                  <c:v>0.47400000000000009</c:v>
                </c:pt>
                <c:pt idx="1">
                  <c:v>1.483125</c:v>
                </c:pt>
                <c:pt idx="2">
                  <c:v>2.8243749999999999</c:v>
                </c:pt>
                <c:pt idx="3">
                  <c:v>4.1793750000000003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46-4A5B-A8F0-AE5D7C8E0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185936"/>
        <c:axId val="2015183024"/>
      </c:scatterChart>
      <c:valAx>
        <c:axId val="201518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5183024"/>
        <c:crosses val="autoZero"/>
        <c:crossBetween val="midCat"/>
      </c:valAx>
      <c:valAx>
        <c:axId val="201518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518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Ib计算值/μA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Sheet2!$C$2:$C$17</c:f>
              <c:numCache>
                <c:formatCode>General</c:formatCode>
                <c:ptCount val="16"/>
                <c:pt idx="0">
                  <c:v>0</c:v>
                </c:pt>
                <c:pt idx="1">
                  <c:v>202</c:v>
                </c:pt>
                <c:pt idx="2">
                  <c:v>400</c:v>
                </c:pt>
                <c:pt idx="3">
                  <c:v>449</c:v>
                </c:pt>
                <c:pt idx="4">
                  <c:v>471</c:v>
                </c:pt>
                <c:pt idx="5">
                  <c:v>491</c:v>
                </c:pt>
                <c:pt idx="6">
                  <c:v>506</c:v>
                </c:pt>
                <c:pt idx="7">
                  <c:v>519</c:v>
                </c:pt>
                <c:pt idx="8">
                  <c:v>531</c:v>
                </c:pt>
                <c:pt idx="9">
                  <c:v>538</c:v>
                </c:pt>
                <c:pt idx="10">
                  <c:v>551</c:v>
                </c:pt>
                <c:pt idx="11">
                  <c:v>561</c:v>
                </c:pt>
                <c:pt idx="12">
                  <c:v>568</c:v>
                </c:pt>
                <c:pt idx="13">
                  <c:v>574</c:v>
                </c:pt>
                <c:pt idx="14">
                  <c:v>580</c:v>
                </c:pt>
                <c:pt idx="15">
                  <c:v>585</c:v>
                </c:pt>
              </c:numCache>
            </c:numRef>
          </c:xVal>
          <c:yVal>
            <c:numRef>
              <c:f>Sheet2!$D$2:$D$17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0.4</c:v>
                </c:pt>
                <c:pt idx="5">
                  <c:v>1</c:v>
                </c:pt>
                <c:pt idx="6">
                  <c:v>1.9</c:v>
                </c:pt>
                <c:pt idx="7">
                  <c:v>3.1</c:v>
                </c:pt>
                <c:pt idx="8">
                  <c:v>4.5999999999999996</c:v>
                </c:pt>
                <c:pt idx="9">
                  <c:v>6.1</c:v>
                </c:pt>
                <c:pt idx="10">
                  <c:v>9.9</c:v>
                </c:pt>
                <c:pt idx="11">
                  <c:v>14</c:v>
                </c:pt>
                <c:pt idx="12">
                  <c:v>18.100000000000001</c:v>
                </c:pt>
                <c:pt idx="13">
                  <c:v>22.6</c:v>
                </c:pt>
                <c:pt idx="14">
                  <c:v>27</c:v>
                </c:pt>
                <c:pt idx="15">
                  <c:v>31.6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C2-44A0-AF74-64358768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884383"/>
        <c:axId val="1397881471"/>
      </c:scatterChart>
      <c:valAx>
        <c:axId val="139788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881471"/>
        <c:crosses val="autoZero"/>
        <c:crossBetween val="midCat"/>
      </c:valAx>
      <c:valAx>
        <c:axId val="139788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88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Vbe实测/mV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Sheet3!$A$2:$A$11</c:f>
              <c:numCache>
                <c:formatCode>General</c:formatCode>
                <c:ptCount val="10"/>
                <c:pt idx="0">
                  <c:v>0</c:v>
                </c:pt>
                <c:pt idx="1">
                  <c:v>202</c:v>
                </c:pt>
                <c:pt idx="2">
                  <c:v>398</c:v>
                </c:pt>
                <c:pt idx="3">
                  <c:v>599</c:v>
                </c:pt>
                <c:pt idx="4">
                  <c:v>651</c:v>
                </c:pt>
                <c:pt idx="5">
                  <c:v>702</c:v>
                </c:pt>
                <c:pt idx="6">
                  <c:v>749</c:v>
                </c:pt>
                <c:pt idx="7">
                  <c:v>800</c:v>
                </c:pt>
                <c:pt idx="8">
                  <c:v>851</c:v>
                </c:pt>
                <c:pt idx="9">
                  <c:v>900</c:v>
                </c:pt>
              </c:numCache>
            </c:numRef>
          </c:xVal>
          <c:yVal>
            <c:numRef>
              <c:f>Sheet3!$B$2:$B$11</c:f>
              <c:numCache>
                <c:formatCode>General</c:formatCode>
                <c:ptCount val="10"/>
                <c:pt idx="0">
                  <c:v>0</c:v>
                </c:pt>
                <c:pt idx="1">
                  <c:v>203</c:v>
                </c:pt>
                <c:pt idx="2">
                  <c:v>401</c:v>
                </c:pt>
                <c:pt idx="3">
                  <c:v>581</c:v>
                </c:pt>
                <c:pt idx="4">
                  <c:v>601</c:v>
                </c:pt>
                <c:pt idx="5">
                  <c:v>614</c:v>
                </c:pt>
                <c:pt idx="6">
                  <c:v>623</c:v>
                </c:pt>
                <c:pt idx="7">
                  <c:v>632</c:v>
                </c:pt>
                <c:pt idx="8">
                  <c:v>640</c:v>
                </c:pt>
                <c:pt idx="9">
                  <c:v>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87-4CC7-A0D1-3813E3C94393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Vce实测/mV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Sheet3!$A$2:$A$11</c:f>
              <c:numCache>
                <c:formatCode>General</c:formatCode>
                <c:ptCount val="10"/>
                <c:pt idx="0">
                  <c:v>0</c:v>
                </c:pt>
                <c:pt idx="1">
                  <c:v>202</c:v>
                </c:pt>
                <c:pt idx="2">
                  <c:v>398</c:v>
                </c:pt>
                <c:pt idx="3">
                  <c:v>599</c:v>
                </c:pt>
                <c:pt idx="4">
                  <c:v>651</c:v>
                </c:pt>
                <c:pt idx="5">
                  <c:v>702</c:v>
                </c:pt>
                <c:pt idx="6">
                  <c:v>749</c:v>
                </c:pt>
                <c:pt idx="7">
                  <c:v>800</c:v>
                </c:pt>
                <c:pt idx="8">
                  <c:v>851</c:v>
                </c:pt>
                <c:pt idx="9">
                  <c:v>900</c:v>
                </c:pt>
              </c:numCache>
            </c:numRef>
          </c:xVal>
          <c:yVal>
            <c:numRef>
              <c:f>Sheet3!$C$2:$C$11</c:f>
              <c:numCache>
                <c:formatCode>General</c:formatCode>
                <c:ptCount val="10"/>
                <c:pt idx="0">
                  <c:v>5010</c:v>
                </c:pt>
                <c:pt idx="1">
                  <c:v>5020</c:v>
                </c:pt>
                <c:pt idx="2">
                  <c:v>5020</c:v>
                </c:pt>
                <c:pt idx="3">
                  <c:v>4510</c:v>
                </c:pt>
                <c:pt idx="4">
                  <c:v>3840</c:v>
                </c:pt>
                <c:pt idx="5">
                  <c:v>3030</c:v>
                </c:pt>
                <c:pt idx="6">
                  <c:v>2230</c:v>
                </c:pt>
                <c:pt idx="7">
                  <c:v>1360</c:v>
                </c:pt>
                <c:pt idx="8">
                  <c:v>526</c:v>
                </c:pt>
                <c:pt idx="9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87-4CC7-A0D1-3813E3C94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978463"/>
        <c:axId val="1507978879"/>
      </c:scatterChart>
      <c:valAx>
        <c:axId val="150797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978879"/>
        <c:crosses val="autoZero"/>
        <c:crossBetween val="midCat"/>
      </c:valAx>
      <c:valAx>
        <c:axId val="150797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978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358913</xdr:colOff>
      <xdr:row>18</xdr:row>
      <xdr:rowOff>171726</xdr:rowOff>
    </xdr:from>
    <xdr:to>
      <xdr:col>11</xdr:col>
      <xdr:colOff>292652</xdr:colOff>
      <xdr:row>34</xdr:row>
      <xdr:rowOff>87796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FFEFDE1-2576-4022-8DC9-1F10FD735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632239</xdr:colOff>
      <xdr:row>0</xdr:row>
      <xdr:rowOff>115957</xdr:rowOff>
    </xdr:from>
    <xdr:to>
      <xdr:col>12</xdr:col>
      <xdr:colOff>436217</xdr:colOff>
      <xdr:row>20</xdr:row>
      <xdr:rowOff>16013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20DAEF-29AD-4855-99FC-07D9ABBE9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111673</xdr:colOff>
      <xdr:row>2</xdr:row>
      <xdr:rowOff>58246</xdr:rowOff>
    </xdr:from>
    <xdr:to>
      <xdr:col>10</xdr:col>
      <xdr:colOff>54742</xdr:colOff>
      <xdr:row>17</xdr:row>
      <xdr:rowOff>108170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A455A4-CB39-45F1-92CF-FBD57EF47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CFE7-8D2B-4662-B41C-229631D470F3}">
  <dimension ref="A1:S18"/>
  <sheetViews>
    <sheetView tabSelected="1" zoomScale="115" zoomScaleNormal="115" workbookViewId="0">
      <selection activeCell="A17" sqref="A17:XFD17"/>
    </sheetView>
  </sheetViews>
  <sheetFormatPr defaultRowHeight="14" x14ac:dyDescent="0.3"/>
  <cols>
    <col min="1" max="3" width="8.6640625" style="1"/>
    <col min="5" max="19" width="8.6640625" style="1"/>
  </cols>
  <sheetData>
    <row r="1" spans="1:19" x14ac:dyDescent="0.3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I1" s="1" t="s">
        <v>0</v>
      </c>
      <c r="J1" s="1" t="s">
        <v>1</v>
      </c>
      <c r="K1" s="1" t="s">
        <v>2</v>
      </c>
      <c r="M1" s="1" t="s">
        <v>0</v>
      </c>
      <c r="N1" s="1" t="s">
        <v>1</v>
      </c>
      <c r="O1" s="1" t="s">
        <v>2</v>
      </c>
      <c r="Q1" s="1" t="s">
        <v>0</v>
      </c>
      <c r="R1" s="1" t="s">
        <v>1</v>
      </c>
      <c r="S1" s="1" t="s">
        <v>2</v>
      </c>
    </row>
    <row r="2" spans="1:19" x14ac:dyDescent="0.3">
      <c r="A2" s="1">
        <v>-2</v>
      </c>
      <c r="B2" s="1">
        <v>0</v>
      </c>
      <c r="C2" s="1">
        <f>(A2-B2)/200</f>
        <v>-0.01</v>
      </c>
      <c r="E2" s="1">
        <v>0</v>
      </c>
      <c r="F2" s="1">
        <v>0</v>
      </c>
      <c r="G2" s="1">
        <f>(E2-F2)/200</f>
        <v>0</v>
      </c>
      <c r="I2" s="1">
        <v>-4</v>
      </c>
      <c r="J2" s="1">
        <v>0</v>
      </c>
      <c r="K2" s="1">
        <f>(I2-J2)/200</f>
        <v>-0.02</v>
      </c>
      <c r="M2" s="1">
        <v>2</v>
      </c>
      <c r="N2" s="1">
        <v>0</v>
      </c>
      <c r="O2" s="1">
        <f>(M2-N2)/200</f>
        <v>0.01</v>
      </c>
      <c r="Q2" s="1">
        <v>-6</v>
      </c>
      <c r="R2" s="1">
        <v>0</v>
      </c>
      <c r="S2" s="1">
        <f>(Q2-R2)/200</f>
        <v>-0.03</v>
      </c>
    </row>
    <row r="3" spans="1:19" x14ac:dyDescent="0.3">
      <c r="A3" s="1">
        <v>41</v>
      </c>
      <c r="B3" s="1">
        <v>20</v>
      </c>
      <c r="C3" s="1">
        <f t="shared" ref="C3:C15" si="0">(A3-B3)/200</f>
        <v>0.105</v>
      </c>
      <c r="E3" s="1">
        <v>59</v>
      </c>
      <c r="F3" s="1">
        <v>20</v>
      </c>
      <c r="G3" s="1">
        <f t="shared" ref="G3:G15" si="1">(E3-F3)/200</f>
        <v>0.19500000000000001</v>
      </c>
      <c r="I3" s="1">
        <v>84</v>
      </c>
      <c r="J3" s="1">
        <v>20</v>
      </c>
      <c r="K3" s="1">
        <f t="shared" ref="K3:K15" si="2">(I3-J3)/200</f>
        <v>0.32</v>
      </c>
      <c r="M3" s="1">
        <v>106</v>
      </c>
      <c r="N3" s="1">
        <v>20</v>
      </c>
      <c r="O3" s="1">
        <f t="shared" ref="O3:O15" si="3">(M3-N3)/200</f>
        <v>0.43</v>
      </c>
      <c r="Q3" s="1">
        <v>18</v>
      </c>
      <c r="R3" s="1">
        <v>20</v>
      </c>
      <c r="S3" s="1">
        <f t="shared" ref="S3:S15" si="4">(Q3-R3)/200</f>
        <v>-0.01</v>
      </c>
    </row>
    <row r="4" spans="1:19" x14ac:dyDescent="0.3">
      <c r="A4" s="1">
        <v>86</v>
      </c>
      <c r="B4" s="1">
        <v>40</v>
      </c>
      <c r="C4" s="1">
        <f t="shared" si="0"/>
        <v>0.23</v>
      </c>
      <c r="E4" s="1">
        <v>133</v>
      </c>
      <c r="F4" s="1">
        <v>40</v>
      </c>
      <c r="G4" s="1">
        <f t="shared" si="1"/>
        <v>0.46500000000000002</v>
      </c>
      <c r="I4" s="1">
        <v>193</v>
      </c>
      <c r="J4" s="1">
        <v>40</v>
      </c>
      <c r="K4" s="1">
        <f t="shared" si="2"/>
        <v>0.76500000000000001</v>
      </c>
      <c r="M4" s="1">
        <v>253</v>
      </c>
      <c r="N4" s="1">
        <v>40</v>
      </c>
      <c r="O4" s="1">
        <f t="shared" si="3"/>
        <v>1.0649999999999999</v>
      </c>
      <c r="Q4" s="1">
        <v>39</v>
      </c>
      <c r="R4" s="1">
        <v>40</v>
      </c>
      <c r="S4" s="1">
        <f t="shared" si="4"/>
        <v>-5.0000000000000001E-3</v>
      </c>
    </row>
    <row r="5" spans="1:19" x14ac:dyDescent="0.3">
      <c r="A5" s="1">
        <v>128</v>
      </c>
      <c r="B5" s="1">
        <v>60</v>
      </c>
      <c r="C5" s="1">
        <f t="shared" si="0"/>
        <v>0.34</v>
      </c>
      <c r="E5" s="1">
        <v>212</v>
      </c>
      <c r="F5" s="1">
        <v>60</v>
      </c>
      <c r="G5" s="1">
        <f t="shared" si="1"/>
        <v>0.76</v>
      </c>
      <c r="I5" s="1">
        <v>323</v>
      </c>
      <c r="J5" s="1">
        <v>60</v>
      </c>
      <c r="K5" s="1">
        <f t="shared" si="2"/>
        <v>1.3149999999999999</v>
      </c>
      <c r="M5" s="1">
        <v>428</v>
      </c>
      <c r="N5" s="1">
        <v>60</v>
      </c>
      <c r="O5" s="1">
        <f t="shared" si="3"/>
        <v>1.84</v>
      </c>
      <c r="Q5" s="1">
        <v>57</v>
      </c>
      <c r="R5" s="1">
        <v>60</v>
      </c>
      <c r="S5" s="1">
        <f t="shared" si="4"/>
        <v>-1.4999999999999999E-2</v>
      </c>
    </row>
    <row r="6" spans="1:19" x14ac:dyDescent="0.3">
      <c r="A6" s="1">
        <v>168</v>
      </c>
      <c r="B6" s="1">
        <v>80</v>
      </c>
      <c r="C6" s="1">
        <f t="shared" si="0"/>
        <v>0.44</v>
      </c>
      <c r="E6" s="1">
        <v>291</v>
      </c>
      <c r="F6" s="1">
        <v>80</v>
      </c>
      <c r="G6" s="1">
        <f t="shared" si="1"/>
        <v>1.0549999999999999</v>
      </c>
      <c r="I6" s="1">
        <v>456</v>
      </c>
      <c r="J6" s="1">
        <v>80</v>
      </c>
      <c r="K6" s="1">
        <f t="shared" si="2"/>
        <v>1.88</v>
      </c>
      <c r="M6" s="1">
        <v>608</v>
      </c>
      <c r="N6" s="1">
        <v>80</v>
      </c>
      <c r="O6" s="1">
        <f t="shared" si="3"/>
        <v>2.64</v>
      </c>
      <c r="Q6" s="1">
        <v>75</v>
      </c>
      <c r="R6" s="1">
        <v>80</v>
      </c>
      <c r="S6" s="1">
        <f t="shared" si="4"/>
        <v>-2.5000000000000001E-2</v>
      </c>
    </row>
    <row r="7" spans="1:19" x14ac:dyDescent="0.3">
      <c r="A7" s="1">
        <v>202</v>
      </c>
      <c r="B7" s="1">
        <v>100</v>
      </c>
      <c r="C7" s="1">
        <f t="shared" si="0"/>
        <v>0.51</v>
      </c>
      <c r="E7" s="1">
        <v>355</v>
      </c>
      <c r="F7" s="1">
        <v>100</v>
      </c>
      <c r="G7" s="1">
        <f t="shared" si="1"/>
        <v>1.2749999999999999</v>
      </c>
      <c r="I7" s="1">
        <v>567</v>
      </c>
      <c r="J7" s="1">
        <v>100</v>
      </c>
      <c r="K7" s="1">
        <f t="shared" si="2"/>
        <v>2.335</v>
      </c>
      <c r="M7" s="1">
        <v>764</v>
      </c>
      <c r="N7" s="1">
        <v>100</v>
      </c>
      <c r="O7" s="1">
        <f t="shared" si="3"/>
        <v>3.32</v>
      </c>
      <c r="Q7" s="1">
        <v>94</v>
      </c>
      <c r="R7" s="1">
        <v>100</v>
      </c>
      <c r="S7" s="1">
        <f t="shared" si="4"/>
        <v>-0.03</v>
      </c>
    </row>
    <row r="8" spans="1:19" x14ac:dyDescent="0.3">
      <c r="A8" s="1">
        <v>368</v>
      </c>
      <c r="B8" s="1">
        <v>250</v>
      </c>
      <c r="C8" s="1">
        <f t="shared" si="0"/>
        <v>0.59</v>
      </c>
      <c r="E8" s="1">
        <v>562</v>
      </c>
      <c r="F8" s="1">
        <v>250</v>
      </c>
      <c r="G8" s="1">
        <f t="shared" si="1"/>
        <v>1.56</v>
      </c>
      <c r="I8" s="1">
        <v>838</v>
      </c>
      <c r="J8" s="1">
        <v>250</v>
      </c>
      <c r="K8" s="1">
        <f t="shared" si="2"/>
        <v>2.94</v>
      </c>
      <c r="M8" s="1">
        <v>1105</v>
      </c>
      <c r="N8" s="1">
        <v>250</v>
      </c>
      <c r="O8" s="1">
        <f t="shared" si="3"/>
        <v>4.2750000000000004</v>
      </c>
      <c r="Q8" s="1">
        <v>234</v>
      </c>
      <c r="R8" s="1">
        <v>250</v>
      </c>
      <c r="S8" s="1">
        <f t="shared" si="4"/>
        <v>-0.08</v>
      </c>
    </row>
    <row r="9" spans="1:19" x14ac:dyDescent="0.3">
      <c r="A9" s="1">
        <v>609</v>
      </c>
      <c r="B9" s="1">
        <v>500</v>
      </c>
      <c r="C9" s="1">
        <f t="shared" si="0"/>
        <v>0.54500000000000004</v>
      </c>
      <c r="E9" s="1">
        <v>812</v>
      </c>
      <c r="F9" s="1">
        <v>500</v>
      </c>
      <c r="G9" s="1">
        <f t="shared" si="1"/>
        <v>1.56</v>
      </c>
      <c r="I9" s="1">
        <v>1086</v>
      </c>
      <c r="J9" s="1">
        <v>500</v>
      </c>
      <c r="K9" s="1">
        <f t="shared" si="2"/>
        <v>2.93</v>
      </c>
      <c r="M9" s="1">
        <v>1348</v>
      </c>
      <c r="N9" s="1">
        <v>500</v>
      </c>
      <c r="O9" s="1">
        <f t="shared" si="3"/>
        <v>4.24</v>
      </c>
      <c r="Q9" s="1">
        <v>465</v>
      </c>
      <c r="R9" s="1">
        <v>500</v>
      </c>
      <c r="S9" s="1">
        <f t="shared" si="4"/>
        <v>-0.17499999999999999</v>
      </c>
    </row>
    <row r="10" spans="1:19" x14ac:dyDescent="0.3">
      <c r="A10" s="1">
        <v>856</v>
      </c>
      <c r="B10" s="1">
        <v>750</v>
      </c>
      <c r="C10" s="1">
        <f t="shared" si="0"/>
        <v>0.53</v>
      </c>
      <c r="E10" s="1">
        <v>1054</v>
      </c>
      <c r="F10" s="1">
        <v>750</v>
      </c>
      <c r="G10" s="1">
        <f t="shared" si="1"/>
        <v>1.52</v>
      </c>
      <c r="I10" s="1">
        <v>1325</v>
      </c>
      <c r="J10" s="1">
        <v>750</v>
      </c>
      <c r="K10" s="1">
        <f t="shared" si="2"/>
        <v>2.875</v>
      </c>
      <c r="M10" s="1">
        <v>1595</v>
      </c>
      <c r="N10" s="1">
        <v>750</v>
      </c>
      <c r="O10" s="1">
        <f t="shared" si="3"/>
        <v>4.2249999999999996</v>
      </c>
      <c r="Q10" s="1">
        <v>699</v>
      </c>
      <c r="R10" s="1">
        <v>750</v>
      </c>
      <c r="S10" s="1">
        <f t="shared" si="4"/>
        <v>-0.255</v>
      </c>
    </row>
    <row r="11" spans="1:19" x14ac:dyDescent="0.3">
      <c r="A11" s="1">
        <v>1099</v>
      </c>
      <c r="B11" s="1">
        <v>1000</v>
      </c>
      <c r="C11" s="1">
        <f t="shared" si="0"/>
        <v>0.495</v>
      </c>
      <c r="E11" s="1">
        <v>1297</v>
      </c>
      <c r="F11" s="1">
        <v>1000</v>
      </c>
      <c r="G11" s="1">
        <f t="shared" si="1"/>
        <v>1.4850000000000001</v>
      </c>
      <c r="I11" s="1">
        <v>1570</v>
      </c>
      <c r="J11" s="1">
        <v>1000</v>
      </c>
      <c r="K11" s="1">
        <f t="shared" si="2"/>
        <v>2.85</v>
      </c>
      <c r="M11" s="1">
        <v>1839</v>
      </c>
      <c r="N11" s="1">
        <v>1000</v>
      </c>
      <c r="O11" s="1">
        <f t="shared" si="3"/>
        <v>4.1950000000000003</v>
      </c>
      <c r="Q11" s="1">
        <v>932</v>
      </c>
      <c r="R11" s="1">
        <v>1000</v>
      </c>
      <c r="S11" s="1">
        <f t="shared" si="4"/>
        <v>-0.34</v>
      </c>
    </row>
    <row r="12" spans="1:19" x14ac:dyDescent="0.3">
      <c r="A12" s="1">
        <v>1337</v>
      </c>
      <c r="B12" s="1">
        <v>1250</v>
      </c>
      <c r="C12" s="1">
        <f t="shared" si="0"/>
        <v>0.435</v>
      </c>
      <c r="E12" s="1">
        <v>1543</v>
      </c>
      <c r="F12" s="1">
        <v>1250</v>
      </c>
      <c r="G12" s="1">
        <f t="shared" si="1"/>
        <v>1.4650000000000001</v>
      </c>
      <c r="I12" s="1">
        <v>1810</v>
      </c>
      <c r="J12" s="1">
        <v>1250</v>
      </c>
      <c r="K12" s="1">
        <f t="shared" si="2"/>
        <v>2.8</v>
      </c>
      <c r="M12" s="1">
        <v>2080</v>
      </c>
      <c r="N12" s="1">
        <v>1250</v>
      </c>
      <c r="O12" s="1">
        <f t="shared" si="3"/>
        <v>4.1500000000000004</v>
      </c>
      <c r="Q12" s="1">
        <v>1168</v>
      </c>
      <c r="R12" s="1">
        <v>1250</v>
      </c>
      <c r="S12" s="1">
        <f t="shared" si="4"/>
        <v>-0.41</v>
      </c>
    </row>
    <row r="13" spans="1:19" x14ac:dyDescent="0.3">
      <c r="A13" s="1">
        <v>1583</v>
      </c>
      <c r="B13" s="1">
        <v>1500</v>
      </c>
      <c r="C13" s="1">
        <f t="shared" si="0"/>
        <v>0.41499999999999998</v>
      </c>
      <c r="E13" s="1">
        <v>1785</v>
      </c>
      <c r="F13" s="1">
        <v>1500</v>
      </c>
      <c r="G13" s="1">
        <f t="shared" si="1"/>
        <v>1.425</v>
      </c>
      <c r="I13" s="1">
        <v>2050</v>
      </c>
      <c r="J13" s="1">
        <v>1500</v>
      </c>
      <c r="K13" s="1">
        <f t="shared" si="2"/>
        <v>2.75</v>
      </c>
      <c r="M13" s="1">
        <v>2330</v>
      </c>
      <c r="N13" s="1">
        <v>1500</v>
      </c>
      <c r="O13" s="1">
        <f t="shared" si="3"/>
        <v>4.1500000000000004</v>
      </c>
      <c r="Q13" s="1">
        <v>1403</v>
      </c>
      <c r="R13" s="1">
        <v>1500</v>
      </c>
      <c r="S13" s="1">
        <f t="shared" si="4"/>
        <v>-0.48499999999999999</v>
      </c>
    </row>
    <row r="14" spans="1:19" x14ac:dyDescent="0.3">
      <c r="A14" s="1">
        <v>1826</v>
      </c>
      <c r="B14" s="1">
        <v>1750</v>
      </c>
      <c r="C14" s="1">
        <f t="shared" si="0"/>
        <v>0.38</v>
      </c>
      <c r="E14" s="1">
        <v>2030</v>
      </c>
      <c r="F14" s="1">
        <v>1750</v>
      </c>
      <c r="G14" s="1">
        <f t="shared" si="1"/>
        <v>1.4</v>
      </c>
      <c r="I14" s="1">
        <v>2290</v>
      </c>
      <c r="J14" s="1">
        <v>1750</v>
      </c>
      <c r="K14" s="1">
        <f t="shared" si="2"/>
        <v>2.7</v>
      </c>
      <c r="M14" s="1">
        <v>2570</v>
      </c>
      <c r="N14" s="1">
        <v>1750</v>
      </c>
      <c r="O14" s="1">
        <f t="shared" si="3"/>
        <v>4.0999999999999996</v>
      </c>
      <c r="Q14" s="1">
        <v>1630</v>
      </c>
      <c r="R14" s="1">
        <v>1750</v>
      </c>
      <c r="S14" s="1">
        <f t="shared" si="4"/>
        <v>-0.6</v>
      </c>
    </row>
    <row r="15" spans="1:19" x14ac:dyDescent="0.3">
      <c r="A15" s="1">
        <v>2080</v>
      </c>
      <c r="B15" s="1">
        <v>2000</v>
      </c>
      <c r="C15" s="1">
        <f t="shared" si="0"/>
        <v>0.4</v>
      </c>
      <c r="E15" s="1">
        <v>2290</v>
      </c>
      <c r="F15" s="1">
        <v>2000</v>
      </c>
      <c r="G15" s="1">
        <f t="shared" si="1"/>
        <v>1.45</v>
      </c>
      <c r="I15" s="1">
        <v>2550</v>
      </c>
      <c r="J15" s="1">
        <v>2000</v>
      </c>
      <c r="K15" s="1">
        <f t="shared" si="2"/>
        <v>2.75</v>
      </c>
      <c r="M15" s="1">
        <v>2820</v>
      </c>
      <c r="N15" s="1">
        <v>2000</v>
      </c>
      <c r="O15" s="1">
        <f t="shared" si="3"/>
        <v>4.0999999999999996</v>
      </c>
      <c r="Q15" s="1">
        <v>1875</v>
      </c>
      <c r="R15" s="1">
        <v>2000</v>
      </c>
      <c r="S15" s="1">
        <f t="shared" si="4"/>
        <v>-0.625</v>
      </c>
    </row>
    <row r="16" spans="1:19" x14ac:dyDescent="0.3">
      <c r="C16" s="1">
        <v>5</v>
      </c>
      <c r="G16" s="1">
        <v>10</v>
      </c>
      <c r="K16" s="1">
        <v>15</v>
      </c>
      <c r="O16" s="1">
        <v>20</v>
      </c>
    </row>
    <row r="17" spans="3:19" x14ac:dyDescent="0.3">
      <c r="C17" s="1">
        <f>AVERAGE(C6:C15)</f>
        <v>0.47400000000000009</v>
      </c>
      <c r="G17" s="1">
        <f>AVERAGE(G8:G15)</f>
        <v>1.483125</v>
      </c>
      <c r="K17" s="1">
        <f>AVERAGE(K8:K15)</f>
        <v>2.8243749999999999</v>
      </c>
      <c r="O17" s="1">
        <f>AVERAGE(O8:O15)</f>
        <v>4.1793750000000003</v>
      </c>
      <c r="S17" s="1">
        <f>AVERAGE(S9:S15)</f>
        <v>-0.41285714285714287</v>
      </c>
    </row>
    <row r="18" spans="3:19" x14ac:dyDescent="0.3">
      <c r="C18" s="1">
        <f>C17/0.005</f>
        <v>94.800000000000011</v>
      </c>
      <c r="G18" s="1">
        <f>G17/0.01</f>
        <v>148.3125</v>
      </c>
      <c r="K18" s="1">
        <f>K17/0.015</f>
        <v>188.29166666666666</v>
      </c>
      <c r="O18" s="1">
        <f>O17/0.02</f>
        <v>208.96875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6649-244F-4CF6-9C78-752874E4902D}">
  <dimension ref="B1:D17"/>
  <sheetViews>
    <sheetView zoomScale="115" zoomScaleNormal="115" workbookViewId="0">
      <selection activeCell="B1" sqref="B1:D1"/>
    </sheetView>
  </sheetViews>
  <sheetFormatPr defaultRowHeight="14" x14ac:dyDescent="0.3"/>
  <cols>
    <col min="2" max="2" width="14.9140625" style="1" customWidth="1"/>
    <col min="3" max="3" width="14.83203125" style="1" customWidth="1"/>
    <col min="4" max="4" width="12.33203125" style="1" customWidth="1"/>
  </cols>
  <sheetData>
    <row r="1" spans="2:4" x14ac:dyDescent="0.3">
      <c r="B1" s="1" t="s">
        <v>3</v>
      </c>
      <c r="C1" s="1" t="s">
        <v>4</v>
      </c>
      <c r="D1" s="1" t="s">
        <v>5</v>
      </c>
    </row>
    <row r="2" spans="2:4" x14ac:dyDescent="0.3">
      <c r="B2" s="1">
        <v>0</v>
      </c>
      <c r="C2" s="1">
        <v>0</v>
      </c>
      <c r="D2" s="1">
        <f t="shared" ref="D2:D16" si="0">(B2-C2)/10</f>
        <v>0</v>
      </c>
    </row>
    <row r="3" spans="2:4" x14ac:dyDescent="0.3">
      <c r="B3" s="1">
        <v>202</v>
      </c>
      <c r="C3" s="1">
        <v>202</v>
      </c>
      <c r="D3" s="1">
        <f t="shared" si="0"/>
        <v>0</v>
      </c>
    </row>
    <row r="4" spans="2:4" x14ac:dyDescent="0.3">
      <c r="B4" s="1">
        <v>400</v>
      </c>
      <c r="C4" s="1">
        <v>400</v>
      </c>
      <c r="D4" s="1">
        <f t="shared" si="0"/>
        <v>0</v>
      </c>
    </row>
    <row r="5" spans="2:4" x14ac:dyDescent="0.3">
      <c r="B5" s="1">
        <v>450</v>
      </c>
      <c r="C5" s="1">
        <v>449</v>
      </c>
      <c r="D5" s="1">
        <f t="shared" si="0"/>
        <v>0.1</v>
      </c>
    </row>
    <row r="6" spans="2:4" x14ac:dyDescent="0.3">
      <c r="B6" s="1">
        <v>475</v>
      </c>
      <c r="C6" s="1">
        <v>471</v>
      </c>
      <c r="D6" s="1">
        <f t="shared" si="0"/>
        <v>0.4</v>
      </c>
    </row>
    <row r="7" spans="2:4" x14ac:dyDescent="0.3">
      <c r="B7" s="1">
        <v>501</v>
      </c>
      <c r="C7" s="1">
        <v>491</v>
      </c>
      <c r="D7" s="1">
        <f t="shared" si="0"/>
        <v>1</v>
      </c>
    </row>
    <row r="8" spans="2:4" x14ac:dyDescent="0.3">
      <c r="B8" s="1">
        <v>525</v>
      </c>
      <c r="C8" s="1">
        <v>506</v>
      </c>
      <c r="D8" s="1">
        <f t="shared" si="0"/>
        <v>1.9</v>
      </c>
    </row>
    <row r="9" spans="2:4" x14ac:dyDescent="0.3">
      <c r="B9" s="1">
        <v>550</v>
      </c>
      <c r="C9" s="1">
        <v>519</v>
      </c>
      <c r="D9" s="1">
        <f t="shared" si="0"/>
        <v>3.1</v>
      </c>
    </row>
    <row r="10" spans="2:4" x14ac:dyDescent="0.3">
      <c r="B10" s="1">
        <v>577</v>
      </c>
      <c r="C10" s="1">
        <v>531</v>
      </c>
      <c r="D10" s="1">
        <f t="shared" si="0"/>
        <v>4.5999999999999996</v>
      </c>
    </row>
    <row r="11" spans="2:4" x14ac:dyDescent="0.3">
      <c r="B11" s="1">
        <v>599</v>
      </c>
      <c r="C11" s="1">
        <v>538</v>
      </c>
      <c r="D11" s="1">
        <f t="shared" si="0"/>
        <v>6.1</v>
      </c>
    </row>
    <row r="12" spans="2:4" x14ac:dyDescent="0.3">
      <c r="B12" s="1">
        <v>650</v>
      </c>
      <c r="C12" s="1">
        <v>551</v>
      </c>
      <c r="D12" s="1">
        <f t="shared" si="0"/>
        <v>9.9</v>
      </c>
    </row>
    <row r="13" spans="2:4" x14ac:dyDescent="0.3">
      <c r="B13" s="1">
        <v>701</v>
      </c>
      <c r="C13" s="1">
        <v>561</v>
      </c>
      <c r="D13" s="1">
        <f t="shared" si="0"/>
        <v>14</v>
      </c>
    </row>
    <row r="14" spans="2:4" x14ac:dyDescent="0.3">
      <c r="B14" s="1">
        <v>749</v>
      </c>
      <c r="C14" s="1">
        <v>568</v>
      </c>
      <c r="D14" s="1">
        <f t="shared" si="0"/>
        <v>18.100000000000001</v>
      </c>
    </row>
    <row r="15" spans="2:4" x14ac:dyDescent="0.3">
      <c r="B15" s="1">
        <v>800</v>
      </c>
      <c r="C15" s="1">
        <v>574</v>
      </c>
      <c r="D15" s="1">
        <f t="shared" si="0"/>
        <v>22.6</v>
      </c>
    </row>
    <row r="16" spans="2:4" x14ac:dyDescent="0.3">
      <c r="B16" s="1">
        <v>850</v>
      </c>
      <c r="C16" s="1">
        <v>580</v>
      </c>
      <c r="D16" s="1">
        <f t="shared" si="0"/>
        <v>27</v>
      </c>
    </row>
    <row r="17" spans="2:4" x14ac:dyDescent="0.3">
      <c r="B17" s="1">
        <v>901</v>
      </c>
      <c r="C17" s="1">
        <v>585</v>
      </c>
      <c r="D17" s="1">
        <f>(B17-C17)/10</f>
        <v>31.6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2AD3-BDED-4BB7-9EDA-662E536F2179}">
  <dimension ref="A1:C11"/>
  <sheetViews>
    <sheetView zoomScale="145" zoomScaleNormal="145" workbookViewId="0">
      <selection sqref="A1:C1048576"/>
    </sheetView>
  </sheetViews>
  <sheetFormatPr defaultRowHeight="14" x14ac:dyDescent="0.3"/>
  <cols>
    <col min="1" max="1" width="15.33203125" style="1" customWidth="1"/>
    <col min="2" max="2" width="18.9140625" style="1" customWidth="1"/>
    <col min="3" max="3" width="16.6640625" style="1" customWidth="1"/>
  </cols>
  <sheetData>
    <row r="1" spans="1:3" x14ac:dyDescent="0.3">
      <c r="A1" s="1" t="s">
        <v>3</v>
      </c>
      <c r="B1" s="1" t="s">
        <v>4</v>
      </c>
      <c r="C1" s="1" t="s">
        <v>6</v>
      </c>
    </row>
    <row r="2" spans="1:3" x14ac:dyDescent="0.3">
      <c r="A2" s="1">
        <v>0</v>
      </c>
      <c r="B2" s="1">
        <v>0</v>
      </c>
      <c r="C2" s="1">
        <v>5010</v>
      </c>
    </row>
    <row r="3" spans="1:3" x14ac:dyDescent="0.3">
      <c r="A3" s="1">
        <v>202</v>
      </c>
      <c r="B3" s="1">
        <v>203</v>
      </c>
      <c r="C3" s="1">
        <v>5020</v>
      </c>
    </row>
    <row r="4" spans="1:3" x14ac:dyDescent="0.3">
      <c r="A4" s="1">
        <v>398</v>
      </c>
      <c r="B4" s="1">
        <v>401</v>
      </c>
      <c r="C4" s="1">
        <v>5020</v>
      </c>
    </row>
    <row r="5" spans="1:3" x14ac:dyDescent="0.3">
      <c r="A5" s="1">
        <v>599</v>
      </c>
      <c r="B5" s="1">
        <v>581</v>
      </c>
      <c r="C5" s="1">
        <v>4510</v>
      </c>
    </row>
    <row r="6" spans="1:3" x14ac:dyDescent="0.3">
      <c r="A6" s="1">
        <v>651</v>
      </c>
      <c r="B6" s="1">
        <v>601</v>
      </c>
      <c r="C6" s="1">
        <v>3840</v>
      </c>
    </row>
    <row r="7" spans="1:3" x14ac:dyDescent="0.3">
      <c r="A7" s="1">
        <v>702</v>
      </c>
      <c r="B7" s="1">
        <v>614</v>
      </c>
      <c r="C7" s="1">
        <v>3030</v>
      </c>
    </row>
    <row r="8" spans="1:3" x14ac:dyDescent="0.3">
      <c r="A8" s="1">
        <v>749</v>
      </c>
      <c r="B8" s="1">
        <v>623</v>
      </c>
      <c r="C8" s="1">
        <v>2230</v>
      </c>
    </row>
    <row r="9" spans="1:3" x14ac:dyDescent="0.3">
      <c r="A9" s="1">
        <v>800</v>
      </c>
      <c r="B9" s="1">
        <v>632</v>
      </c>
      <c r="C9" s="1">
        <v>1360</v>
      </c>
    </row>
    <row r="10" spans="1:3" x14ac:dyDescent="0.3">
      <c r="A10" s="1">
        <v>851</v>
      </c>
      <c r="B10" s="1">
        <v>640</v>
      </c>
      <c r="C10" s="1">
        <v>526</v>
      </c>
    </row>
    <row r="11" spans="1:3" x14ac:dyDescent="0.3">
      <c r="A11" s="1">
        <v>900</v>
      </c>
      <c r="B11" s="1">
        <v>644</v>
      </c>
      <c r="C11" s="1">
        <v>130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zihan</dc:creator>
  <cp:lastModifiedBy>wang zihan</cp:lastModifiedBy>
  <dcterms:created xsi:type="dcterms:W3CDTF">2025-09-17T08:42:04Z</dcterms:created>
  <dcterms:modified xsi:type="dcterms:W3CDTF">2025-09-17T10:07:22Z</dcterms:modified>
</cp:coreProperties>
</file>