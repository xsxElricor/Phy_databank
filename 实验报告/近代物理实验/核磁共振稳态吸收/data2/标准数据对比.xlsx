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#SYSU\#Lessones\大二\近代物理实验\核磁共振\data2\"/>
    </mc:Choice>
  </mc:AlternateContent>
  <xr:revisionPtr revIDLastSave="0" documentId="13_ncr:1_{17565FF0-B43E-47EF-83F7-D388B8BFFD07}" xr6:coauthVersionLast="47" xr6:coauthVersionMax="47" xr10:uidLastSave="{00000000-0000-0000-0000-000000000000}"/>
  <bookViews>
    <workbookView xWindow="-90" yWindow="0" windowWidth="1298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K3" i="1"/>
  <c r="K4" i="1"/>
  <c r="K5" i="1"/>
  <c r="K6" i="1"/>
  <c r="K7" i="1"/>
  <c r="J3" i="1"/>
  <c r="J4" i="1"/>
  <c r="J5" i="1"/>
  <c r="J6" i="1"/>
  <c r="J7" i="1"/>
  <c r="I3" i="1"/>
  <c r="I4" i="1"/>
  <c r="I5" i="1"/>
  <c r="I6" i="1"/>
  <c r="I7" i="1"/>
  <c r="M2" i="1"/>
  <c r="I2" i="1"/>
  <c r="K2" i="1" s="1"/>
  <c r="J2" i="1" l="1"/>
</calcChain>
</file>

<file path=xl/sharedStrings.xml><?xml version="1.0" encoding="utf-8"?>
<sst xmlns="http://schemas.openxmlformats.org/spreadsheetml/2006/main" count="10" uniqueCount="10">
  <si>
    <t>B(mT)</t>
    <phoneticPr fontId="1" type="noConversion"/>
  </si>
  <si>
    <t>hbar</t>
    <phoneticPr fontId="1" type="noConversion"/>
  </si>
  <si>
    <t>mu N</t>
    <phoneticPr fontId="1" type="noConversion"/>
  </si>
  <si>
    <t>sample</t>
    <phoneticPr fontId="1" type="noConversion"/>
  </si>
  <si>
    <t>nu(GHz)</t>
    <phoneticPr fontId="1" type="noConversion"/>
  </si>
  <si>
    <t>mu I</t>
    <phoneticPr fontId="1" type="noConversion"/>
  </si>
  <si>
    <t>gamma</t>
    <phoneticPr fontId="1" type="noConversion"/>
  </si>
  <si>
    <t>g N</t>
    <phoneticPr fontId="1" type="noConversion"/>
  </si>
  <si>
    <t>gamma ref</t>
    <phoneticPr fontId="1" type="noConversion"/>
  </si>
  <si>
    <t>相对误差（gamma）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</si>
</sst>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I7" sqref="I7"/>
    </sheetView>
  </sheetViews>
  <sheetFormatPr defaultRowHeight="14" x14ac:dyDescent="0.3"/>
  <cols>
    <col min="8" max="8" width="11.6640625" customWidth="1"/>
    <col min="13" max="13" width="26.6640625" customWidth="1"/>
  </cols>
  <sheetData>
    <row r="1" spans="1:13" x14ac:dyDescent="0.3">
      <c r="A1" t="s">
        <v>0</v>
      </c>
      <c r="B1" t="s">
        <v>1</v>
      </c>
      <c r="C1" t="s">
        <v>2</v>
      </c>
      <c r="E1" t="s">
        <v>3</v>
      </c>
      <c r="F1" t="s">
        <v>4</v>
      </c>
      <c r="H1" t="s">
        <v>8</v>
      </c>
      <c r="I1" t="s">
        <v>6</v>
      </c>
      <c r="J1" t="s">
        <v>7</v>
      </c>
      <c r="K1" t="s">
        <v>5</v>
      </c>
      <c r="M1" t="s">
        <v>9</v>
      </c>
    </row>
    <row r="2" spans="1:13" x14ac:dyDescent="0.3">
      <c r="A2">
        <v>431.1</v>
      </c>
      <c r="B2" s="1">
        <v>1.054457E-34</v>
      </c>
      <c r="C2">
        <v>5.0507999999999997</v>
      </c>
      <c r="E2">
        <v>1</v>
      </c>
      <c r="F2">
        <v>20.563700000000001</v>
      </c>
      <c r="H2">
        <v>267.52</v>
      </c>
      <c r="I2">
        <f>2*PI()*F2/A2*1000</f>
        <v>299.71129135061204</v>
      </c>
      <c r="J2" s="1">
        <f>I2*B2/C2</f>
        <v>6.2570814354892751E-33</v>
      </c>
      <c r="K2" s="1">
        <f>0.5*I2*B2</f>
        <v>1.5801633457184616E-32</v>
      </c>
      <c r="M2">
        <f>(I2-H2)/H2</f>
        <v>0.12033227927112763</v>
      </c>
    </row>
    <row r="3" spans="1:13" x14ac:dyDescent="0.3">
      <c r="A3">
        <v>431.1</v>
      </c>
      <c r="B3" s="1">
        <v>1.054457E-34</v>
      </c>
      <c r="C3">
        <v>5.0507999999999997</v>
      </c>
      <c r="E3">
        <v>2</v>
      </c>
      <c r="F3">
        <v>20.564</v>
      </c>
      <c r="H3">
        <v>267.52</v>
      </c>
      <c r="I3">
        <f t="shared" ref="I3:I7" si="0">2*PI()*F3/A3*1000</f>
        <v>299.71566378297609</v>
      </c>
      <c r="J3" s="1">
        <f t="shared" ref="J3:J7" si="1">I3*B3/C3</f>
        <v>6.2571727188882083E-33</v>
      </c>
      <c r="K3" s="1">
        <f t="shared" ref="K3:K7" si="2">0.5*I3*B3</f>
        <v>1.5801863984280281E-32</v>
      </c>
      <c r="M3">
        <f t="shared" ref="M3:M7" si="3">(I3-H3)/H3</f>
        <v>0.12034862359067028</v>
      </c>
    </row>
    <row r="4" spans="1:13" x14ac:dyDescent="0.3">
      <c r="A4">
        <v>431.1</v>
      </c>
      <c r="B4" s="1">
        <v>1.054457E-34</v>
      </c>
      <c r="C4">
        <v>5.0507999999999997</v>
      </c>
      <c r="E4">
        <v>3</v>
      </c>
      <c r="F4">
        <v>20.5627</v>
      </c>
      <c r="H4">
        <v>267.52</v>
      </c>
      <c r="I4">
        <f t="shared" si="0"/>
        <v>299.69671657606511</v>
      </c>
      <c r="J4" s="1">
        <f t="shared" si="1"/>
        <v>6.2567771574928316E-33</v>
      </c>
      <c r="K4" s="1">
        <f t="shared" si="2"/>
        <v>1.5800865033532395E-32</v>
      </c>
      <c r="M4">
        <f t="shared" si="3"/>
        <v>0.1202777982059851</v>
      </c>
    </row>
    <row r="5" spans="1:13" x14ac:dyDescent="0.3">
      <c r="A5">
        <v>431.1</v>
      </c>
      <c r="B5" s="1">
        <v>1.054457E-34</v>
      </c>
      <c r="C5">
        <v>5.0507999999999997</v>
      </c>
      <c r="E5">
        <v>4</v>
      </c>
      <c r="F5">
        <v>20.564</v>
      </c>
      <c r="H5">
        <v>267.52</v>
      </c>
      <c r="I5">
        <f t="shared" si="0"/>
        <v>299.71566378297609</v>
      </c>
      <c r="J5" s="1">
        <f t="shared" si="1"/>
        <v>6.2571727188882083E-33</v>
      </c>
      <c r="K5" s="1">
        <f t="shared" si="2"/>
        <v>1.5801863984280281E-32</v>
      </c>
      <c r="M5">
        <f t="shared" si="3"/>
        <v>0.12034862359067028</v>
      </c>
    </row>
    <row r="6" spans="1:13" x14ac:dyDescent="0.3">
      <c r="A6">
        <v>431.1</v>
      </c>
      <c r="B6" s="1">
        <v>1.054457E-34</v>
      </c>
      <c r="C6">
        <v>5.0507999999999997</v>
      </c>
      <c r="E6">
        <v>5</v>
      </c>
      <c r="F6">
        <v>20.564499999999999</v>
      </c>
      <c r="H6">
        <v>267.52</v>
      </c>
      <c r="I6">
        <f t="shared" si="0"/>
        <v>299.72295117024953</v>
      </c>
      <c r="J6" s="1">
        <f t="shared" si="1"/>
        <v>6.2573248578864308E-33</v>
      </c>
      <c r="K6" s="1">
        <f t="shared" si="2"/>
        <v>1.580224819610639E-32</v>
      </c>
      <c r="M6">
        <f t="shared" si="3"/>
        <v>0.12037586412324144</v>
      </c>
    </row>
    <row r="7" spans="1:13" x14ac:dyDescent="0.3">
      <c r="A7">
        <v>431.1</v>
      </c>
      <c r="B7" s="1">
        <v>1.054457E-34</v>
      </c>
      <c r="C7">
        <v>5.0507999999999997</v>
      </c>
      <c r="E7">
        <v>6</v>
      </c>
      <c r="F7">
        <v>20.5657</v>
      </c>
      <c r="H7">
        <v>267.52</v>
      </c>
      <c r="I7">
        <f t="shared" si="0"/>
        <v>299.7404408997059</v>
      </c>
      <c r="J7" s="1">
        <f t="shared" si="1"/>
        <v>6.2576899914821649E-33</v>
      </c>
      <c r="K7" s="1">
        <f t="shared" si="2"/>
        <v>1.5803170304489059E-32</v>
      </c>
      <c r="M7">
        <f t="shared" si="3"/>
        <v>0.12044124140141269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ZhiChao Wang</dc:creator>
  <cp:lastModifiedBy>殊行 徐</cp:lastModifiedBy>
  <dcterms:created xsi:type="dcterms:W3CDTF">2015-06-05T18:19:34Z</dcterms:created>
  <dcterms:modified xsi:type="dcterms:W3CDTF">2025-06-21T13:33:53Z</dcterms:modified>
</cp:coreProperties>
</file>