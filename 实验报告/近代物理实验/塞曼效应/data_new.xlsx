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#SYSU\#Lessones\大二\近代物理实验\塞曼效应\"/>
    </mc:Choice>
  </mc:AlternateContent>
  <xr:revisionPtr revIDLastSave="0" documentId="8_{8F93D380-6D83-43AC-BD4E-C33EADAE01D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4" i="1" l="1"/>
  <c r="I34" i="1"/>
  <c r="J33" i="1"/>
  <c r="I33" i="1"/>
  <c r="J32" i="1"/>
  <c r="I31" i="1"/>
  <c r="J31" i="1" s="1"/>
  <c r="I32" i="1"/>
  <c r="J30" i="1"/>
  <c r="I30" i="1"/>
  <c r="J29" i="1"/>
  <c r="I29" i="1"/>
</calcChain>
</file>

<file path=xl/sharedStrings.xml><?xml version="1.0" encoding="utf-8"?>
<sst xmlns="http://schemas.openxmlformats.org/spreadsheetml/2006/main" count="8" uniqueCount="6">
  <si>
    <t>B</t>
    <phoneticPr fontId="1" type="noConversion"/>
  </si>
  <si>
    <t>I</t>
    <phoneticPr fontId="1" type="noConversion"/>
  </si>
  <si>
    <t>G</t>
    <phoneticPr fontId="1" type="noConversion"/>
  </si>
  <si>
    <t>DA</t>
    <phoneticPr fontId="1" type="noConversion"/>
  </si>
  <si>
    <t>DB</t>
    <phoneticPr fontId="1" type="noConversion"/>
  </si>
  <si>
    <t>DN-1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</si>
</sst>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电磁铁标定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11697375328083989"/>
                  <c:y val="-1.43055555555555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Sheet1!$A$2:$A$26</c:f>
              <c:numCache>
                <c:formatCode>General</c:formatCode>
                <c:ptCount val="2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</c:numCache>
            </c:numRef>
          </c:xVal>
          <c:yVal>
            <c:numRef>
              <c:f>Sheet1!$B$2:$B$26</c:f>
              <c:numCache>
                <c:formatCode>General</c:formatCode>
                <c:ptCount val="25"/>
                <c:pt idx="0">
                  <c:v>1</c:v>
                </c:pt>
                <c:pt idx="1">
                  <c:v>59</c:v>
                </c:pt>
                <c:pt idx="2">
                  <c:v>118</c:v>
                </c:pt>
                <c:pt idx="3">
                  <c:v>182</c:v>
                </c:pt>
                <c:pt idx="4">
                  <c:v>254</c:v>
                </c:pt>
                <c:pt idx="5">
                  <c:v>317</c:v>
                </c:pt>
                <c:pt idx="6">
                  <c:v>382</c:v>
                </c:pt>
                <c:pt idx="7">
                  <c:v>448</c:v>
                </c:pt>
                <c:pt idx="8">
                  <c:v>519</c:v>
                </c:pt>
                <c:pt idx="9">
                  <c:v>579</c:v>
                </c:pt>
                <c:pt idx="10">
                  <c:v>644</c:v>
                </c:pt>
                <c:pt idx="11">
                  <c:v>707</c:v>
                </c:pt>
                <c:pt idx="12">
                  <c:v>769</c:v>
                </c:pt>
                <c:pt idx="13">
                  <c:v>830</c:v>
                </c:pt>
                <c:pt idx="14">
                  <c:v>888</c:v>
                </c:pt>
                <c:pt idx="15">
                  <c:v>944</c:v>
                </c:pt>
                <c:pt idx="16">
                  <c:v>991</c:v>
                </c:pt>
                <c:pt idx="17">
                  <c:v>1040</c:v>
                </c:pt>
                <c:pt idx="18">
                  <c:v>1080</c:v>
                </c:pt>
                <c:pt idx="19">
                  <c:v>1116</c:v>
                </c:pt>
                <c:pt idx="20">
                  <c:v>1149</c:v>
                </c:pt>
                <c:pt idx="21">
                  <c:v>1178</c:v>
                </c:pt>
                <c:pt idx="22">
                  <c:v>1204</c:v>
                </c:pt>
                <c:pt idx="23">
                  <c:v>1229</c:v>
                </c:pt>
                <c:pt idx="24">
                  <c:v>1252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F3-4185-92A9-2D7BF0EF9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482720"/>
        <c:axId val="104476960"/>
      </c:scatterChart>
      <c:valAx>
        <c:axId val="10448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励磁电流</a:t>
                </a:r>
                <a:r>
                  <a:rPr lang="en-US" altLang="zh-CN"/>
                  <a:t>(I/A)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184090450232183"/>
              <c:y val="0.892096219931271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476960"/>
        <c:crosses val="autoZero"/>
        <c:crossBetween val="midCat"/>
      </c:valAx>
      <c:valAx>
        <c:axId val="1044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磁感应强度</a:t>
                </a:r>
                <a:r>
                  <a:rPr lang="en-US" altLang="zh-CN"/>
                  <a:t>(B/mT)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48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21431</xdr:colOff>
      <xdr:row>9</xdr:row>
      <xdr:rowOff>78580</xdr:rowOff>
    </xdr:from>
    <xdr:to>
      <xdr:col>11</xdr:col>
      <xdr:colOff>59531</xdr:colOff>
      <xdr:row>25</xdr:row>
      <xdr:rowOff>5555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BE363B9-CB6E-6371-13CD-8E611E5F89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topLeftCell="A4" workbookViewId="0">
      <selection activeCell="M27" sqref="M27"/>
    </sheetView>
  </sheetViews>
  <sheetFormatPr defaultRowHeight="14" x14ac:dyDescent="0.3"/>
  <cols>
    <col min="10" max="10" width="12.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</v>
      </c>
    </row>
    <row r="3" spans="1:2" x14ac:dyDescent="0.3">
      <c r="A3">
        <v>0.25</v>
      </c>
      <c r="B3">
        <v>59</v>
      </c>
    </row>
    <row r="4" spans="1:2" x14ac:dyDescent="0.3">
      <c r="A4">
        <v>0.5</v>
      </c>
      <c r="B4">
        <v>118</v>
      </c>
    </row>
    <row r="5" spans="1:2" x14ac:dyDescent="0.3">
      <c r="A5">
        <v>0.75</v>
      </c>
      <c r="B5">
        <v>182</v>
      </c>
    </row>
    <row r="6" spans="1:2" x14ac:dyDescent="0.3">
      <c r="A6">
        <v>1</v>
      </c>
      <c r="B6">
        <v>254</v>
      </c>
    </row>
    <row r="7" spans="1:2" x14ac:dyDescent="0.3">
      <c r="A7">
        <v>1.25</v>
      </c>
      <c r="B7">
        <v>317</v>
      </c>
    </row>
    <row r="8" spans="1:2" x14ac:dyDescent="0.3">
      <c r="A8">
        <v>1.5</v>
      </c>
      <c r="B8">
        <v>382</v>
      </c>
    </row>
    <row r="9" spans="1:2" x14ac:dyDescent="0.3">
      <c r="A9">
        <v>1.75</v>
      </c>
      <c r="B9">
        <v>448</v>
      </c>
    </row>
    <row r="10" spans="1:2" x14ac:dyDescent="0.3">
      <c r="A10">
        <v>2</v>
      </c>
      <c r="B10">
        <v>519</v>
      </c>
    </row>
    <row r="11" spans="1:2" x14ac:dyDescent="0.3">
      <c r="A11">
        <v>2.25</v>
      </c>
      <c r="B11">
        <v>579</v>
      </c>
    </row>
    <row r="12" spans="1:2" x14ac:dyDescent="0.3">
      <c r="A12">
        <v>2.5</v>
      </c>
      <c r="B12">
        <v>644</v>
      </c>
    </row>
    <row r="13" spans="1:2" x14ac:dyDescent="0.3">
      <c r="A13">
        <v>2.75</v>
      </c>
      <c r="B13">
        <v>707</v>
      </c>
    </row>
    <row r="14" spans="1:2" x14ac:dyDescent="0.3">
      <c r="A14">
        <v>3</v>
      </c>
      <c r="B14">
        <v>769</v>
      </c>
    </row>
    <row r="15" spans="1:2" x14ac:dyDescent="0.3">
      <c r="A15">
        <v>3.25</v>
      </c>
      <c r="B15">
        <v>830</v>
      </c>
    </row>
    <row r="16" spans="1:2" x14ac:dyDescent="0.3">
      <c r="A16">
        <v>3.5</v>
      </c>
      <c r="B16">
        <v>888</v>
      </c>
    </row>
    <row r="17" spans="1:10" x14ac:dyDescent="0.3">
      <c r="A17">
        <v>3.75</v>
      </c>
      <c r="B17">
        <v>944</v>
      </c>
    </row>
    <row r="18" spans="1:10" x14ac:dyDescent="0.3">
      <c r="A18">
        <v>4</v>
      </c>
      <c r="B18">
        <v>991</v>
      </c>
    </row>
    <row r="19" spans="1:10" x14ac:dyDescent="0.3">
      <c r="A19">
        <v>4.25</v>
      </c>
      <c r="B19">
        <v>1040</v>
      </c>
    </row>
    <row r="20" spans="1:10" x14ac:dyDescent="0.3">
      <c r="A20">
        <v>4.5</v>
      </c>
      <c r="B20">
        <v>1080</v>
      </c>
    </row>
    <row r="21" spans="1:10" x14ac:dyDescent="0.3">
      <c r="A21">
        <v>4.75</v>
      </c>
      <c r="B21">
        <v>1116</v>
      </c>
    </row>
    <row r="22" spans="1:10" x14ac:dyDescent="0.3">
      <c r="A22">
        <v>5</v>
      </c>
      <c r="B22">
        <v>1149</v>
      </c>
    </row>
    <row r="23" spans="1:10" x14ac:dyDescent="0.3">
      <c r="A23">
        <v>5.25</v>
      </c>
      <c r="B23">
        <v>1178</v>
      </c>
    </row>
    <row r="24" spans="1:10" x14ac:dyDescent="0.3">
      <c r="A24">
        <v>5.5</v>
      </c>
      <c r="B24">
        <v>1204</v>
      </c>
    </row>
    <row r="25" spans="1:10" x14ac:dyDescent="0.3">
      <c r="A25">
        <v>5.75</v>
      </c>
      <c r="B25">
        <v>1229</v>
      </c>
    </row>
    <row r="26" spans="1:10" x14ac:dyDescent="0.3">
      <c r="A26">
        <v>6</v>
      </c>
      <c r="B26">
        <v>1252</v>
      </c>
    </row>
    <row r="28" spans="1:10" x14ac:dyDescent="0.3">
      <c r="E28" t="s">
        <v>3</v>
      </c>
      <c r="F28" t="s">
        <v>4</v>
      </c>
      <c r="G28" t="s">
        <v>5</v>
      </c>
      <c r="H28" t="s">
        <v>1</v>
      </c>
      <c r="I28" t="s">
        <v>0</v>
      </c>
      <c r="J28" t="s">
        <v>2</v>
      </c>
    </row>
    <row r="29" spans="1:10" x14ac:dyDescent="0.3">
      <c r="E29">
        <v>362</v>
      </c>
      <c r="F29">
        <v>337</v>
      </c>
      <c r="G29">
        <v>503</v>
      </c>
      <c r="H29">
        <v>6.0030000000000001</v>
      </c>
      <c r="I29">
        <f>-3.6001*POWER(H29,3)+15.828*POWER(H29,2)+242.33*H29-3.1778</f>
        <v>1243.1185247385974</v>
      </c>
      <c r="J29">
        <f>4*PI()*3*POWER(10,8)*(POWER(E29,2)-POWER(F29,2))/0.00205/I29/(POWER(G29,2)-POWER(E29,2))</f>
        <v>211956472.77922434</v>
      </c>
    </row>
    <row r="30" spans="1:10" x14ac:dyDescent="0.3">
      <c r="E30">
        <v>362</v>
      </c>
      <c r="F30">
        <v>331</v>
      </c>
      <c r="G30">
        <v>504</v>
      </c>
      <c r="H30">
        <v>5.5</v>
      </c>
      <c r="I30">
        <f>-3.6001*POWER(H30,3)+15.828*POWER(H30,2)+242.33*H30-3.1778</f>
        <v>1209.4675625000002</v>
      </c>
      <c r="J30">
        <f>4*PI()*3*POWER(10,8)*(POWER(E30,2)-POWER(F30,2))/0.00205/I30/(POWER(G30,2)-POWER(E30,2))</f>
        <v>265626698.55325341</v>
      </c>
    </row>
    <row r="31" spans="1:10" x14ac:dyDescent="0.3">
      <c r="E31">
        <v>362</v>
      </c>
      <c r="F31">
        <v>339</v>
      </c>
      <c r="G31">
        <v>505</v>
      </c>
      <c r="H31">
        <v>6</v>
      </c>
      <c r="I31">
        <f t="shared" ref="I31:I34" si="0">-3.6001*POWER(H31,3)+15.828*POWER(H31,2)+242.33*H31-3.1778</f>
        <v>1242.9886000000001</v>
      </c>
      <c r="J31">
        <f t="shared" ref="J31:J34" si="1">4*PI()*3*POWER(10,8)*(POWER(E31,2)-POWER(F31,2))/0.00205/I31/(POWER(G31,2)-POWER(E31,2))</f>
        <v>192398123.1548419</v>
      </c>
    </row>
    <row r="32" spans="1:10" x14ac:dyDescent="0.3">
      <c r="E32">
        <v>331</v>
      </c>
      <c r="F32">
        <v>312</v>
      </c>
      <c r="G32">
        <v>463</v>
      </c>
      <c r="H32">
        <v>5.9</v>
      </c>
      <c r="I32">
        <f t="shared" si="0"/>
        <v>1238.1569420999999</v>
      </c>
      <c r="J32">
        <f t="shared" si="1"/>
        <v>173129749.61066732</v>
      </c>
    </row>
    <row r="33" spans="5:10" x14ac:dyDescent="0.3">
      <c r="E33">
        <v>335</v>
      </c>
      <c r="F33">
        <v>317</v>
      </c>
      <c r="G33">
        <v>464</v>
      </c>
      <c r="H33">
        <v>5</v>
      </c>
      <c r="I33">
        <f t="shared" si="0"/>
        <v>1154.1597000000002</v>
      </c>
      <c r="J33">
        <f t="shared" si="1"/>
        <v>181424094.01657447</v>
      </c>
    </row>
    <row r="34" spans="5:10" x14ac:dyDescent="0.3">
      <c r="E34">
        <v>335</v>
      </c>
      <c r="F34">
        <v>318</v>
      </c>
      <c r="G34">
        <v>467</v>
      </c>
      <c r="H34">
        <v>4.5</v>
      </c>
      <c r="I34">
        <f t="shared" si="0"/>
        <v>1079.7650875000002</v>
      </c>
      <c r="J34">
        <f t="shared" si="1"/>
        <v>178591909.06917992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ZhiChao Wang</dc:creator>
  <cp:lastModifiedBy>殊行 徐</cp:lastModifiedBy>
  <dcterms:created xsi:type="dcterms:W3CDTF">2015-06-05T18:19:34Z</dcterms:created>
  <dcterms:modified xsi:type="dcterms:W3CDTF">2025-06-04T08:47:06Z</dcterms:modified>
</cp:coreProperties>
</file>